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sa Grande" sheetId="1" state="visible" r:id="rId3"/>
    <sheet name="Cartavio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<sst xmlns="http://schemas.openxmlformats.org/spreadsheetml/2006/main" count="47" uniqueCount="24">
  <si>
    <t xml:space="preserve">Ratio / Métrica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</si>
  <si>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</si>
  <si>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</si>
  <si>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</si>
  <si>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</si>
  <si>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</si>
  <si>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</si>
  <si>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</si>
  <si>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</si>
  <si>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</si>
  <si>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</si>
  <si>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Revenue</t>
  </si>
  <si>
    <t xml:space="preserve">CostOfSales</t>
  </si>
  <si>
    <t xml:space="preserve">GROSS PROFIT</t>
  </si>
  <si>
    <t xml:space="preserve">Equity</t>
  </si>
  <si>
    <t xml:space="preserve">CashAndCashEquivalents</t>
  </si>
  <si>
    <t xml:space="preserve">Net Income</t>
  </si>
  <si>
    <t xml:space="preserve">Net Margin</t>
  </si>
  <si>
    <t xml:space="preserve">ROE</t>
  </si>
  <si>
    <t xml:space="preserve">ROA</t>
  </si>
  <si>
    <t xml:space="preserve">Cash Ratio</t>
  </si>
  <si>
    <t xml:space="preserve">Current Ratio</t>
  </si>
  <si>
    <t xml:space="preserve">Debt Asset Ratio</t>
  </si>
  <si>
    <t xml:space="preserve">Quick Ratio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</si>
</sst>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[$S/-280A]#,##0.00;[RED][$S/-280A]\-#,##0.00"/>
    <numFmt numFmtId="166" formatCode="0.00\%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14" activeCellId="0" sqref="K14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5.04"/>
    <col collapsed="false" customWidth="true" hidden="false" outlineLevel="0" max="4" min="2" style="0" width="20.63"/>
    <col collapsed="false" customWidth="true" hidden="false" outlineLevel="0" max="8" min="5" style="0" width="19.52"/>
    <col collapsed="false" customWidth="true" hidden="false" outlineLevel="0" max="11" min="9" style="0" width="20.63"/>
  </cols>
  <sheetData>
    <row r="1" customFormat="false" ht="1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" t="s">
        <v>10</v>
      </c>
    </row>
    <row r="2" customFormat="false" ht="15" hidden="false" customHeight="false" outlineLevel="0" collapsed="false">
      <c r="A2" s="1" t="s">
        <v>11</v>
      </c>
      <c r="B2" s="3" t="n">
        <v>555938000</v>
      </c>
      <c r="C2" s="3" t="n">
        <v>383442000</v>
      </c>
      <c r="D2" s="3" t="n">
        <v>429418000</v>
      </c>
      <c r="E2" s="3" t="n">
        <v>484791000</v>
      </c>
      <c r="F2" s="3" t="n">
        <v>611468000</v>
      </c>
      <c r="G2" s="3" t="n">
        <v>678888000</v>
      </c>
      <c r="H2" s="3" t="n">
        <v>745972000</v>
      </c>
      <c r="I2" s="3" t="n">
        <v>792536000</v>
      </c>
      <c r="J2" s="3" t="n">
        <v>782541000</v>
      </c>
      <c r="K2" s="0" t="n">
        <v>583342000</v>
      </c>
    </row>
    <row r="3" customFormat="false" ht="15" hidden="false" customHeight="false" outlineLevel="0" collapsed="false">
      <c r="A3" s="1" t="s">
        <v>12</v>
      </c>
      <c r="B3" s="3" t="n">
        <v>476759000</v>
      </c>
      <c r="C3" s="3" t="n">
        <v>376485000</v>
      </c>
      <c r="D3" s="3" t="n">
        <v>391261000</v>
      </c>
      <c r="E3" s="3" t="n">
        <v>405092000</v>
      </c>
      <c r="F3" s="3" t="n">
        <v>441346000</v>
      </c>
      <c r="G3" s="3" t="n">
        <v>469699000</v>
      </c>
      <c r="H3" s="3" t="n">
        <v>506244000</v>
      </c>
      <c r="I3" s="3" t="n">
        <v>539931000</v>
      </c>
      <c r="J3" s="3" t="n">
        <v>577012000</v>
      </c>
      <c r="K3" s="0" t="n">
        <v>463401000</v>
      </c>
    </row>
    <row r="4" customFormat="false" ht="15" hidden="false" customHeight="false" outlineLevel="0" collapsed="false">
      <c r="A4" s="1" t="s">
        <v>13</v>
      </c>
      <c r="B4" s="3" t="n">
        <f aca="false">B2-B3</f>
        <v>79179000</v>
      </c>
      <c r="C4" s="3" t="n">
        <f aca="false">C2-C3</f>
        <v>6957000</v>
      </c>
      <c r="D4" s="3" t="n">
        <f aca="false">D2-D3</f>
        <v>38157000</v>
      </c>
      <c r="E4" s="3" t="n">
        <f aca="false">E2-E3</f>
        <v>79699000</v>
      </c>
      <c r="F4" s="3" t="n">
        <f aca="false">F2-F3</f>
        <v>170122000</v>
      </c>
      <c r="G4" s="3" t="n">
        <f aca="false">G2-G3</f>
        <v>209189000</v>
      </c>
      <c r="H4" s="3" t="n">
        <f aca="false">H2-H3</f>
        <v>239728000</v>
      </c>
      <c r="I4" s="3" t="n">
        <f aca="false">I2-I3</f>
        <v>252605000</v>
      </c>
      <c r="J4" s="3" t="n">
        <f aca="false">J2-J3</f>
        <v>205529000</v>
      </c>
      <c r="K4" s="0" t="n">
        <f aca="false">K2-K3</f>
        <v>119941000</v>
      </c>
    </row>
    <row r="5" customFormat="false" ht="15" hidden="false" customHeight="false" outlineLevel="0" collapsed="false">
      <c r="A5" s="1" t="s">
        <v>14</v>
      </c>
      <c r="B5" s="3" t="n">
        <v>1397294000</v>
      </c>
      <c r="C5" s="3" t="n">
        <v>1365982000</v>
      </c>
      <c r="D5" s="3" t="n">
        <v>1320026000</v>
      </c>
      <c r="E5" s="3" t="n">
        <v>1336677000</v>
      </c>
      <c r="F5" s="3" t="n">
        <v>1406734000</v>
      </c>
      <c r="G5" s="3" t="n">
        <v>1463753000</v>
      </c>
      <c r="H5" s="3" t="n">
        <v>1080179000</v>
      </c>
      <c r="I5" s="3" t="n">
        <v>1100142000</v>
      </c>
      <c r="J5" s="3" t="n">
        <v>1049649000</v>
      </c>
      <c r="K5" s="0" t="n">
        <v>952428000</v>
      </c>
    </row>
    <row r="6" customFormat="false" ht="15" hidden="false" customHeight="false" outlineLevel="0" collapsed="false">
      <c r="A6" s="1" t="s">
        <v>15</v>
      </c>
      <c r="B6" s="3" t="n">
        <v>14929000</v>
      </c>
      <c r="C6" s="3" t="n">
        <v>19192000</v>
      </c>
      <c r="D6" s="3" t="n">
        <v>8266000</v>
      </c>
      <c r="E6" s="3" t="n">
        <v>62197000</v>
      </c>
      <c r="F6" s="3" t="n">
        <v>114725000</v>
      </c>
      <c r="G6" s="3" t="n">
        <v>412680000</v>
      </c>
      <c r="H6" s="3" t="n">
        <v>73845000</v>
      </c>
      <c r="I6" s="3" t="n">
        <v>9423000</v>
      </c>
      <c r="J6" s="3" t="n">
        <v>28063000</v>
      </c>
      <c r="K6" s="0" t="n">
        <v>4337000</v>
      </c>
    </row>
    <row r="7" customFormat="false" ht="15" hidden="false" customHeight="false" outlineLevel="0" collapsed="false">
      <c r="A7" s="1" t="s">
        <v>16</v>
      </c>
      <c r="B7" s="3" t="n">
        <v>104635000</v>
      </c>
      <c r="C7" s="3" t="n">
        <v>2688000</v>
      </c>
      <c r="D7" s="3" t="n">
        <v>1537000</v>
      </c>
      <c r="E7" s="3" t="n">
        <v>17716000</v>
      </c>
      <c r="F7" s="3" t="n">
        <v>89088000</v>
      </c>
      <c r="G7" s="3" t="n">
        <v>140019000</v>
      </c>
      <c r="H7" s="3" t="n">
        <v>131932000</v>
      </c>
      <c r="I7" s="3" t="n">
        <v>138119000</v>
      </c>
      <c r="J7" s="3" t="n">
        <v>73490000</v>
      </c>
      <c r="K7" s="0" t="n">
        <v>-33221000</v>
      </c>
    </row>
    <row r="8" customFormat="false" ht="15" hidden="false" customHeight="false" outlineLevel="0" collapsed="false">
      <c r="A8" s="1" t="s">
        <v>17</v>
      </c>
      <c r="B8" s="4" t="n">
        <v>18.8213433872123</v>
      </c>
      <c r="C8" s="4" t="n">
        <v>0.701018667751577</v>
      </c>
      <c r="D8" s="4" t="n">
        <v>0.357926309563176</v>
      </c>
      <c r="E8" s="4" t="n">
        <v>3.65435826985237</v>
      </c>
      <c r="F8" s="4" t="n">
        <v>14.5695277594249</v>
      </c>
      <c r="G8" s="4" t="n">
        <v>20.6247569554919</v>
      </c>
      <c r="H8" s="4" t="n">
        <v>17.6859185063246</v>
      </c>
      <c r="I8" s="4" t="n">
        <v>17.4274733261328</v>
      </c>
      <c r="J8" s="4" t="n">
        <v>9.39120122779509</v>
      </c>
      <c r="K8" s="4" t="n">
        <v>-5.69494396083258</v>
      </c>
    </row>
    <row r="9" customFormat="false" ht="15" hidden="false" customHeight="false" outlineLevel="0" collapsed="false">
      <c r="A9" s="1" t="s">
        <v>18</v>
      </c>
      <c r="B9" s="4" t="n">
        <v>7.48840258385136</v>
      </c>
      <c r="C9" s="4" t="n">
        <v>0.196781509566012</v>
      </c>
      <c r="D9" s="4" t="n">
        <v>0.116437100481354</v>
      </c>
      <c r="E9" s="4" t="n">
        <v>1.32537628761473</v>
      </c>
      <c r="F9" s="4" t="n">
        <v>6.33296700015781</v>
      </c>
      <c r="G9" s="4" t="n">
        <v>9.56575323842206</v>
      </c>
      <c r="H9" s="4" t="n">
        <v>12.2139015848299</v>
      </c>
      <c r="I9" s="4" t="n">
        <v>12.5546520358281</v>
      </c>
      <c r="J9" s="4" t="n">
        <v>7.00138808306396</v>
      </c>
      <c r="K9" s="4" t="n">
        <v>-3.48803269118506</v>
      </c>
    </row>
    <row r="10" customFormat="false" ht="15" hidden="false" customHeight="false" outlineLevel="0" collapsed="false">
      <c r="A10" s="1" t="s">
        <v>19</v>
      </c>
      <c r="B10" s="4" t="n">
        <v>5.98629905006442</v>
      </c>
      <c r="C10" s="4" t="n">
        <v>0.157132610453177</v>
      </c>
      <c r="D10" s="4" t="n">
        <v>0.0903399709995175</v>
      </c>
      <c r="E10" s="4" t="n">
        <v>1.02401309552986</v>
      </c>
      <c r="F10" s="4" t="n">
        <v>4.98331121026868</v>
      </c>
      <c r="G10" s="4" t="n">
        <v>6.52212797473484</v>
      </c>
      <c r="H10" s="4" t="n">
        <v>6.87060666438223</v>
      </c>
      <c r="I10" s="4" t="n">
        <v>7.3216630452126</v>
      </c>
      <c r="J10" s="4" t="n">
        <v>3.70611314512794</v>
      </c>
      <c r="K10" s="4" t="n">
        <v>-1.78164605840105</v>
      </c>
    </row>
    <row r="11" customFormat="false" ht="15" hidden="false" customHeight="false" outlineLevel="0" collapsed="false">
      <c r="A11" s="1" t="s">
        <v>20</v>
      </c>
      <c r="B11" s="3" t="n">
        <v>0.0426038913970332</v>
      </c>
      <c r="C11" s="3" t="n">
        <v>0.0541771937500882</v>
      </c>
      <c r="D11" s="3" t="n">
        <v>0.0231927161515691</v>
      </c>
      <c r="E11" s="3" t="n">
        <v>0.161636295595588</v>
      </c>
      <c r="F11" s="3" t="n">
        <v>0.230263752099921</v>
      </c>
      <c r="G11" s="3" t="n">
        <v>0.506222284918703</v>
      </c>
      <c r="H11" s="3" t="n">
        <v>0.132885732126694</v>
      </c>
      <c r="I11" s="3" t="n">
        <v>0.0203811929800276</v>
      </c>
      <c r="J11" s="3" t="n">
        <v>0.0485028128969814</v>
      </c>
      <c r="K11" s="3" t="n">
        <v>0.0106802930493136</v>
      </c>
    </row>
    <row r="12" customFormat="false" ht="15" hidden="false" customHeight="false" outlineLevel="0" collapsed="false">
      <c r="A12" s="1" t="s">
        <v>21</v>
      </c>
      <c r="B12" s="3" t="n">
        <v>25.092357084479</v>
      </c>
      <c r="C12" s="3" t="n">
        <v>25.2327629500242</v>
      </c>
      <c r="D12" s="3" t="n">
        <v>28.8876885758311</v>
      </c>
      <c r="E12" s="3" t="n">
        <v>29.4296228632647</v>
      </c>
      <c r="F12" s="3" t="n">
        <v>27.0835140118885</v>
      </c>
      <c r="G12" s="3" t="n">
        <v>46.6661383443791</v>
      </c>
      <c r="H12" s="3" t="n">
        <v>77.7703510251542</v>
      </c>
      <c r="I12" s="3" t="n">
        <v>71.4726826173349</v>
      </c>
      <c r="J12" s="3" t="n">
        <v>88.9145800167485</v>
      </c>
      <c r="K12" s="3" t="n">
        <v>95.7758486730755</v>
      </c>
    </row>
    <row r="13" customFormat="false" ht="15" hidden="false" customHeight="false" outlineLevel="0" collapsed="false">
      <c r="A13" s="1" t="s">
        <v>22</v>
      </c>
      <c r="B13" s="3" t="n">
        <v>20.0590648935756</v>
      </c>
      <c r="C13" s="3" t="n">
        <v>20.1486914092071</v>
      </c>
      <c r="D13" s="3" t="n">
        <v>22.4130705539304</v>
      </c>
      <c r="E13" s="3" t="n">
        <v>22.737934494606</v>
      </c>
      <c r="F13" s="3" t="n">
        <v>21.3115872837408</v>
      </c>
      <c r="G13" s="3" t="n">
        <v>31.8179362129279</v>
      </c>
      <c r="H13" s="3" t="n">
        <v>43.7476500308816</v>
      </c>
      <c r="I13" s="3" t="n">
        <v>41.6816728626309</v>
      </c>
      <c r="J13" s="3" t="n">
        <v>47.0660231777058</v>
      </c>
      <c r="K13" s="3" t="n">
        <v>48.9211766018243</v>
      </c>
    </row>
    <row r="14" customFormat="false" ht="15" hidden="false" customHeight="false" outlineLevel="0" collapsed="false">
      <c r="A14" s="1" t="s">
        <v>23</v>
      </c>
      <c r="B14" s="3" t="n">
        <v>2.4299698308869</v>
      </c>
      <c r="C14" s="3" t="n">
        <v>2.16944744020808</v>
      </c>
      <c r="D14" s="3" t="n">
        <v>2.22636385650535</v>
      </c>
      <c r="E14" s="3" t="n">
        <v>2.17794834952925</v>
      </c>
      <c r="F14" s="3" t="n">
        <v>3.38040917544947</v>
      </c>
      <c r="G14" s="3" t="n">
        <v>1.7746651540205</v>
      </c>
      <c r="H14" s="3" t="n">
        <v>1.81557046081233</v>
      </c>
      <c r="I14" s="3" t="n">
        <v>1.42746192764775</v>
      </c>
      <c r="J14" s="3" t="n">
        <v>1.10792966189449</v>
      </c>
      <c r="K14" s="3" t="n">
        <v>0.600770608932156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4" activeCellId="0" sqref="E14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25.04"/>
    <col collapsed="false" customWidth="true" hidden="false" outlineLevel="0" max="10" min="2" style="0" width="16.71"/>
    <col collapsed="false" customWidth="true" hidden="false" outlineLevel="0" max="11" min="11" style="0" width="18.42"/>
  </cols>
  <sheetData>
    <row r="1" customFormat="false" ht="1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" t="s">
        <v>10</v>
      </c>
    </row>
    <row r="2" customFormat="false" ht="15" hidden="false" customHeight="false" outlineLevel="0" collapsed="false">
      <c r="A2" s="1" t="s">
        <v>11</v>
      </c>
      <c r="B2" s="3" t="n">
        <v>377322000</v>
      </c>
      <c r="C2" s="3" t="n">
        <v>271289000</v>
      </c>
      <c r="D2" s="3" t="n">
        <v>259742000</v>
      </c>
      <c r="E2" s="3" t="n">
        <v>319125000</v>
      </c>
      <c r="F2" s="3" t="n">
        <v>335672000</v>
      </c>
      <c r="G2" s="3" t="n">
        <v>373577000</v>
      </c>
      <c r="H2" s="3" t="n">
        <v>466062000</v>
      </c>
      <c r="I2" s="3" t="n">
        <v>507828000</v>
      </c>
      <c r="J2" s="3" t="n">
        <v>535074000</v>
      </c>
      <c r="K2" s="0" t="n">
        <v>388163000</v>
      </c>
    </row>
    <row r="3" customFormat="false" ht="15" hidden="false" customHeight="false" outlineLevel="0" collapsed="false">
      <c r="A3" s="1" t="s">
        <v>12</v>
      </c>
      <c r="B3" s="3" t="n">
        <v>327909000</v>
      </c>
      <c r="C3" s="3" t="n">
        <v>267248000</v>
      </c>
      <c r="D3" s="3" t="n">
        <v>224044000</v>
      </c>
      <c r="E3" s="3" t="n">
        <v>251785000</v>
      </c>
      <c r="F3" s="3" t="n">
        <v>233001000</v>
      </c>
      <c r="G3" s="3" t="n">
        <v>259284000</v>
      </c>
      <c r="H3" s="3" t="n">
        <v>282002000</v>
      </c>
      <c r="I3" s="3" t="n">
        <v>336607000</v>
      </c>
      <c r="J3" s="3" t="n">
        <v>348851000</v>
      </c>
      <c r="K3" s="0" t="n">
        <v>299661000</v>
      </c>
    </row>
    <row r="4" customFormat="false" ht="15" hidden="false" customHeight="false" outlineLevel="0" collapsed="false">
      <c r="A4" s="1" t="s">
        <v>14</v>
      </c>
      <c r="B4" s="3" t="n">
        <v>537840000</v>
      </c>
      <c r="C4" s="3" t="n">
        <v>529830000</v>
      </c>
      <c r="D4" s="3" t="n">
        <v>543715000</v>
      </c>
      <c r="E4" s="3" t="n">
        <v>576919000</v>
      </c>
      <c r="F4" s="3" t="n">
        <v>616157000</v>
      </c>
      <c r="G4" s="3" t="n">
        <v>620969000</v>
      </c>
      <c r="H4" s="3" t="n">
        <v>396751000</v>
      </c>
      <c r="I4" s="3" t="n">
        <v>392288000</v>
      </c>
      <c r="J4" s="3" t="n">
        <v>383474000</v>
      </c>
      <c r="K4" s="0" t="n">
        <v>335053000</v>
      </c>
    </row>
    <row r="5" customFormat="false" ht="15" hidden="false" customHeight="false" outlineLevel="0" collapsed="false">
      <c r="A5" s="1" t="s">
        <v>15</v>
      </c>
      <c r="B5" s="3" t="n">
        <v>12721000</v>
      </c>
      <c r="C5" s="3" t="n">
        <v>6604000</v>
      </c>
      <c r="D5" s="3" t="n">
        <v>9350000</v>
      </c>
      <c r="E5" s="3" t="n">
        <v>22044000</v>
      </c>
      <c r="F5" s="3" t="n">
        <v>22012000</v>
      </c>
      <c r="G5" s="3" t="n">
        <v>179927000</v>
      </c>
      <c r="H5" s="3" t="n">
        <v>16392000</v>
      </c>
      <c r="I5" s="3" t="n">
        <v>18469000</v>
      </c>
      <c r="J5" s="3" t="n">
        <v>45081000</v>
      </c>
      <c r="K5" s="0" t="n">
        <v>13750000</v>
      </c>
    </row>
    <row r="6" customFormat="false" ht="15" hidden="false" customHeight="false" outlineLevel="0" collapsed="false">
      <c r="A6" s="1" t="s">
        <v>16</v>
      </c>
      <c r="B6" s="3" t="n">
        <v>64644000</v>
      </c>
      <c r="C6" s="3" t="n">
        <v>9935000</v>
      </c>
      <c r="D6" s="3" t="n">
        <v>15404000</v>
      </c>
      <c r="E6" s="3" t="n">
        <v>35426000</v>
      </c>
      <c r="F6" s="3" t="n">
        <v>79544000</v>
      </c>
      <c r="G6" s="3" t="n">
        <v>79642000</v>
      </c>
      <c r="H6" s="3" t="n">
        <v>132490000</v>
      </c>
      <c r="I6" s="3" t="n">
        <v>106404000</v>
      </c>
      <c r="J6" s="3" t="n">
        <v>91846000</v>
      </c>
      <c r="K6" s="0" t="n">
        <v>46053000</v>
      </c>
    </row>
    <row r="7" customFormat="false" ht="15" hidden="false" customHeight="false" outlineLevel="0" collapsed="false">
      <c r="A7" s="1" t="s">
        <v>17</v>
      </c>
      <c r="B7" s="4" t="n">
        <v>17.1323166950244</v>
      </c>
      <c r="C7" s="4" t="n">
        <v>3.66214627205674</v>
      </c>
      <c r="D7" s="4" t="n">
        <v>5.93050026564822</v>
      </c>
      <c r="E7" s="4" t="n">
        <v>11.1009792401097</v>
      </c>
      <c r="F7" s="4" t="n">
        <v>23.6969422531519</v>
      </c>
      <c r="G7" s="4" t="n">
        <v>21.3187642708197</v>
      </c>
      <c r="H7" s="4" t="n">
        <v>28.4275482661105</v>
      </c>
      <c r="I7" s="4" t="n">
        <v>20.95276353411</v>
      </c>
      <c r="J7" s="4" t="n">
        <v>17.1651023970516</v>
      </c>
      <c r="K7" s="4" t="n">
        <v>11.8643456486064</v>
      </c>
    </row>
    <row r="8" customFormat="false" ht="15" hidden="false" customHeight="false" outlineLevel="0" collapsed="false">
      <c r="A8" s="1" t="s">
        <v>18</v>
      </c>
      <c r="B8" s="4" t="n">
        <v>12.0191878625614</v>
      </c>
      <c r="C8" s="4" t="n">
        <v>1.87512975860182</v>
      </c>
      <c r="D8" s="4" t="n">
        <v>2.83310190081201</v>
      </c>
      <c r="E8" s="4" t="n">
        <v>6.14055005988709</v>
      </c>
      <c r="F8" s="4" t="n">
        <v>12.9096967169082</v>
      </c>
      <c r="G8" s="4" t="n">
        <v>12.8254389510588</v>
      </c>
      <c r="H8" s="4" t="n">
        <v>33.3937406584987</v>
      </c>
      <c r="I8" s="4" t="n">
        <v>27.1239497512032</v>
      </c>
      <c r="J8" s="4" t="n">
        <v>23.9510370976911</v>
      </c>
      <c r="K8" s="4" t="n">
        <v>13.7449895986605</v>
      </c>
    </row>
    <row r="9" customFormat="false" ht="15" hidden="false" customHeight="false" outlineLevel="0" collapsed="false">
      <c r="A9" s="1" t="s">
        <v>19</v>
      </c>
      <c r="B9" s="4" t="n">
        <v>8.97200308671104</v>
      </c>
      <c r="C9" s="4" t="n">
        <v>1.38235318671717</v>
      </c>
      <c r="D9" s="4" t="n">
        <v>2.054954422541</v>
      </c>
      <c r="E9" s="4" t="n">
        <v>4.63006286513403</v>
      </c>
      <c r="F9" s="4" t="n">
        <v>9.59913498693068</v>
      </c>
      <c r="G9" s="4" t="n">
        <v>7.56406834843608</v>
      </c>
      <c r="H9" s="4" t="n">
        <v>15.6147428440777</v>
      </c>
      <c r="I9" s="4" t="n">
        <v>12.0618532159387</v>
      </c>
      <c r="J9" s="4" t="n">
        <v>9.91685031004329</v>
      </c>
      <c r="K9" s="4" t="n">
        <v>5.13008742302585</v>
      </c>
    </row>
    <row r="10" customFormat="false" ht="15" hidden="false" customHeight="false" outlineLevel="0" collapsed="false">
      <c r="A10" s="1" t="s">
        <v>20</v>
      </c>
      <c r="B10" s="4" t="n">
        <v>0.0707713020450854</v>
      </c>
      <c r="C10" s="4" t="n">
        <v>0.0346579339588975</v>
      </c>
      <c r="D10" s="4" t="n">
        <v>0.0527965216409272</v>
      </c>
      <c r="E10" s="4" t="n">
        <v>0.129291080886105</v>
      </c>
      <c r="F10" s="4" t="n">
        <v>0.12958983627597</v>
      </c>
      <c r="G10" s="4" t="n">
        <v>0.424179057327484</v>
      </c>
      <c r="H10" s="4" t="n">
        <v>0.0637520855939422</v>
      </c>
      <c r="I10" s="4" t="n">
        <v>0.0705769510023463</v>
      </c>
      <c r="J10" s="4" t="n">
        <v>0.152851664615353</v>
      </c>
      <c r="K10" s="4" t="n">
        <v>0.0537287771330325</v>
      </c>
    </row>
    <row r="11" customFormat="false" ht="15" hidden="false" customHeight="false" outlineLevel="0" collapsed="false">
      <c r="A11" s="1" t="s">
        <v>21</v>
      </c>
      <c r="B11" s="3" t="n">
        <v>33.9632604492042</v>
      </c>
      <c r="C11" s="3" t="n">
        <v>35.6476605703716</v>
      </c>
      <c r="D11" s="3" t="n">
        <v>37.8668971795886</v>
      </c>
      <c r="E11" s="3" t="n">
        <v>32.6234705391918</v>
      </c>
      <c r="F11" s="3" t="n">
        <v>34.4881255913671</v>
      </c>
      <c r="G11" s="3" t="n">
        <v>69.5574175200372</v>
      </c>
      <c r="H11" s="3" t="n">
        <v>113.860330534769</v>
      </c>
      <c r="I11" s="3" t="n">
        <v>124.87381719553</v>
      </c>
      <c r="J11" s="3" t="n">
        <v>141.518590569374</v>
      </c>
      <c r="K11" s="3" t="n">
        <v>167.928954523613</v>
      </c>
    </row>
    <row r="12" customFormat="false" ht="15" hidden="false" customHeight="false" outlineLevel="0" collapsed="false">
      <c r="A12" s="1" t="s">
        <v>22</v>
      </c>
      <c r="B12" s="3" t="n">
        <v>25.352667839913</v>
      </c>
      <c r="C12" s="3" t="n">
        <v>26.2795984984041</v>
      </c>
      <c r="D12" s="3" t="n">
        <v>27.466272146723</v>
      </c>
      <c r="E12" s="3" t="n">
        <v>24.5985649497471</v>
      </c>
      <c r="F12" s="3" t="n">
        <v>25.6439930586563</v>
      </c>
      <c r="G12" s="3" t="n">
        <v>41.0229281251098</v>
      </c>
      <c r="H12" s="3" t="n">
        <v>53.2405099393867</v>
      </c>
      <c r="I12" s="3" t="n">
        <v>55.5306165710483</v>
      </c>
      <c r="J12" s="3" t="n">
        <v>58.5953198202041</v>
      </c>
      <c r="K12" s="3" t="n">
        <v>62.6766729345085</v>
      </c>
    </row>
    <row r="13" customFormat="false" ht="15" hidden="false" customHeight="false" outlineLevel="0" collapsed="false">
      <c r="A13" s="1" t="s">
        <v>23</v>
      </c>
      <c r="B13" s="3" t="n">
        <v>1.13256787099408</v>
      </c>
      <c r="C13" s="3" t="n">
        <v>1.32220270146938</v>
      </c>
      <c r="D13" s="3" t="n">
        <v>1.04467637256622</v>
      </c>
      <c r="E13" s="3" t="n">
        <v>1.47483244791722</v>
      </c>
      <c r="F13" s="3" t="n">
        <v>1.0873520159881</v>
      </c>
      <c r="G13" s="3" t="n">
        <v>1.21306147901947</v>
      </c>
      <c r="H13" s="3" t="n">
        <v>1.05520063830827</v>
      </c>
      <c r="I13" s="3" t="n">
        <v>0.807238084026689</v>
      </c>
      <c r="J13" s="3" t="n">
        <v>0.73610004649847</v>
      </c>
      <c r="K13" s="3" t="n">
        <v>0.585602826438981</v>
      </c>
    </row>
    <row r="14" customFormat="false" ht="15" hidden="false" customHeight="false" outlineLevel="0" collapsed="false">
      <c r="A14" s="1"/>
      <c r="B14" s="3"/>
      <c r="C14" s="3"/>
      <c r="D14" s="3"/>
      <c r="E14" s="3"/>
      <c r="F14" s="3"/>
      <c r="G14" s="3"/>
      <c r="H14" s="3"/>
      <c r="I14" s="3"/>
      <c r="J14" s="3"/>
      <c r="K14" s="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LibreOffice/24.8.6.2$Linux_X86_64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2026-09-25T01:41:07Z</dcterms:created>
  <dc:creator>openpyxl</dc:creator>
  <dc:description/>
  <dc:language>es-PE</dc:language>
  <cp:lastModifiedBy/>
  <dcterms:modified xsi:type="dcterms:W3CDTF">2026-09-24T20:53:15Z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